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1" sheetId="1" r:id="rId5"/>
  </sheets>
  <definedNames/>
  <calcPr/>
</workbook>
</file>

<file path=xl/sharedStrings.xml><?xml version="1.0" encoding="utf-8"?>
<sst xmlns="http://schemas.openxmlformats.org/spreadsheetml/2006/main" count="23" uniqueCount="21">
  <si>
    <t>weight</t>
  </si>
  <si>
    <t>measurement 1 [N]</t>
  </si>
  <si>
    <t>measurement 2</t>
  </si>
  <si>
    <t>measurement 3</t>
  </si>
  <si>
    <t>measurement 4</t>
  </si>
  <si>
    <t>measurement 5</t>
  </si>
  <si>
    <t>raw measurement 1</t>
  </si>
  <si>
    <t>raw measurement 2</t>
  </si>
  <si>
    <t>raw measurement 3</t>
  </si>
  <si>
    <t>raw measurement 4</t>
  </si>
  <si>
    <t>raw measurement 5</t>
  </si>
  <si>
    <t>abs raw avg</t>
  </si>
  <si>
    <t>true weight</t>
  </si>
  <si>
    <t>expected N</t>
  </si>
  <si>
    <t>After calibration with found linear relation</t>
  </si>
  <si>
    <t>avg with example value</t>
  </si>
  <si>
    <t>after calibration</t>
  </si>
  <si>
    <t>measurement</t>
  </si>
  <si>
    <t>diff</t>
  </si>
  <si>
    <t>avg diff</t>
  </si>
  <si>
    <t>avg diff in 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</si>
</sst>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'Ark1'!$M$1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FF0000"/>
                </a:solidFill>
              </a:ln>
            </c:spPr>
            <c:trendlineType val="linear"/>
            <c:dispRSqr val="1"/>
            <c:dispEq val="1"/>
          </c:trendline>
          <c:xVal>
            <c:numRef>
              <c:f>'Ark1'!$O$2:$O$16</c:f>
            </c:numRef>
          </c:xVal>
          <c:yVal>
            <c:numRef>
              <c:f>'Ark1'!$M$2:$M$16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6168812"/>
        <c:axId val="366641354"/>
      </c:scatterChart>
      <c:valAx>
        <c:axId val="133616881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6641354"/>
      </c:valAx>
      <c:valAx>
        <c:axId val="3666413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61688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avg with example value (before calibration)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'Ark1'!$G$18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FF0000"/>
                </a:solidFill>
              </a:ln>
            </c:spPr>
            <c:trendlineType val="linear"/>
            <c:dispRSqr val="1"/>
            <c:dispEq val="1"/>
          </c:trendline>
          <c:xVal>
            <c:numRef>
              <c:f>'Ark1'!$O$2:$O$16</c:f>
            </c:numRef>
          </c:xVal>
          <c:yVal>
            <c:numRef>
              <c:f>'Ark1'!$G$19:$G$33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2757556"/>
        <c:axId val="192136259"/>
      </c:scatterChart>
      <c:valAx>
        <c:axId val="109275755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136259"/>
      </c:valAx>
      <c:valAx>
        <c:axId val="1921362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 with example 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27575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after calibration (1 measurement)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'Ark1'!$B$38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FF0000"/>
                </a:solidFill>
              </a:ln>
            </c:spPr>
            <c:trendlineType val="linear"/>
            <c:dispRSqr val="1"/>
            <c:dispEq val="1"/>
          </c:trendline>
          <c:xVal>
            <c:numRef>
              <c:f>'Ark1'!$O$2:$O$16</c:f>
            </c:numRef>
          </c:xVal>
          <c:yVal>
            <c:numRef>
              <c:f>'Ark1'!$B$39:$B$53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1366646"/>
        <c:axId val="764091915"/>
      </c:scatterChart>
      <c:valAx>
        <c:axId val="201136664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4091915"/>
      </c:valAx>
      <c:valAx>
        <c:axId val="7640919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 with example 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13666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1181100</xdr:colOff>
      <xdr:row>16</xdr:row>
      <xdr:rowOff>152400</xdr:rowOff>
    </xdr:from>
    <xdr:ext cx="5715000" cy="3533775"/>
    <xdr:graphicFrame>
      <xdr:nvGraphicFramePr>
        <xdr:cNvPr id="1" name="Chart 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9525</xdr:colOff>
      <xdr:row>16</xdr:row>
      <xdr:rowOff>152400</xdr:rowOff>
    </xdr:from>
    <xdr:ext cx="5715000" cy="3533775"/>
    <xdr:graphicFrame>
      <xdr:nvGraphicFramePr>
        <xdr:cNvPr id="2" name="Chart 2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942975</xdr:colOff>
      <xdr:row>36</xdr:row>
      <xdr:rowOff>190500</xdr:rowOff>
    </xdr:from>
    <xdr:ext cx="5715000" cy="3533775"/>
    <xdr:graphicFrame>
      <xdr:nvGraphicFramePr>
        <xdr:cNvPr id="3" name="Chart 3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714375</xdr:colOff>
      <xdr:row>36</xdr:row>
      <xdr:rowOff>190500</xdr:rowOff>
    </xdr:from>
    <xdr:ext cx="3629025" cy="619125"/>
    <xdr:pic>
      <xdr:nvPicPr>
        <xdr:cNvPr id="0" name="image1.png" title="Billed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6.38"/>
    <col customWidth="1" min="9" max="9" width="16.75"/>
    <col customWidth="1" min="10" max="10" width="15.88"/>
    <col customWidth="1" min="11" max="11" width="16.25"/>
    <col customWidth="1" min="12" max="12" width="16.75"/>
    <col customWidth="1" min="17" max="17" width="2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-1216.4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Q1" s="1" t="s">
        <v>14</v>
      </c>
    </row>
    <row r="2">
      <c r="A2" s="1">
        <v>2.0</v>
      </c>
      <c r="B2" s="1">
        <v>47.25</v>
      </c>
      <c r="C2" s="1">
        <v>46.7</v>
      </c>
      <c r="D2" s="1">
        <v>47.14</v>
      </c>
      <c r="E2" s="1">
        <v>47.04</v>
      </c>
      <c r="F2" s="1">
        <v>47.17</v>
      </c>
      <c r="H2" s="2">
        <f t="shared" ref="H2:L2" si="1">B2*$G$1</f>
        <v>-57474.9</v>
      </c>
      <c r="I2" s="2">
        <f t="shared" si="1"/>
        <v>-56805.88</v>
      </c>
      <c r="J2" s="2">
        <f t="shared" si="1"/>
        <v>-57341.096</v>
      </c>
      <c r="K2" s="2">
        <f t="shared" si="1"/>
        <v>-57219.456</v>
      </c>
      <c r="L2" s="2">
        <f t="shared" si="1"/>
        <v>-57377.588</v>
      </c>
      <c r="M2" s="2">
        <f t="shared" ref="M2:M16" si="3">AVERAGE(H2:L2)*-1</f>
        <v>57243.784</v>
      </c>
      <c r="N2" s="1">
        <v>2.6</v>
      </c>
      <c r="O2" s="2">
        <f t="shared" ref="O2:O16" si="4">N2*9.81</f>
        <v>25.506</v>
      </c>
    </row>
    <row r="3">
      <c r="A3" s="1">
        <v>3.0</v>
      </c>
      <c r="B3" s="1">
        <v>73.1</v>
      </c>
      <c r="C3" s="1">
        <v>73.05</v>
      </c>
      <c r="D3" s="1">
        <v>73.0</v>
      </c>
      <c r="E3" s="1">
        <v>73.08</v>
      </c>
      <c r="F3" s="1">
        <v>73.04</v>
      </c>
      <c r="H3" s="2">
        <f t="shared" ref="H3:L3" si="2">B3*$G$1</f>
        <v>-88918.84</v>
      </c>
      <c r="I3" s="2">
        <f t="shared" si="2"/>
        <v>-88858.02</v>
      </c>
      <c r="J3" s="2">
        <f t="shared" si="2"/>
        <v>-88797.2</v>
      </c>
      <c r="K3" s="2">
        <f t="shared" si="2"/>
        <v>-88894.512</v>
      </c>
      <c r="L3" s="2">
        <f t="shared" si="2"/>
        <v>-88845.856</v>
      </c>
      <c r="M3" s="2">
        <f t="shared" si="3"/>
        <v>88862.8856</v>
      </c>
      <c r="N3" s="1">
        <v>3.4</v>
      </c>
      <c r="O3" s="2">
        <f t="shared" si="4"/>
        <v>33.354</v>
      </c>
    </row>
    <row r="4">
      <c r="A4" s="1">
        <v>4.0</v>
      </c>
      <c r="B4" s="1">
        <v>96.8</v>
      </c>
      <c r="C4" s="1">
        <v>96.75</v>
      </c>
      <c r="D4" s="1">
        <v>96.78</v>
      </c>
      <c r="E4" s="1">
        <v>97.05</v>
      </c>
      <c r="F4" s="1">
        <v>96.87</v>
      </c>
      <c r="H4" s="2">
        <f t="shared" ref="H4:L4" si="5">B4*$G$1</f>
        <v>-117747.52</v>
      </c>
      <c r="I4" s="2">
        <f t="shared" si="5"/>
        <v>-117686.7</v>
      </c>
      <c r="J4" s="2">
        <f t="shared" si="5"/>
        <v>-117723.192</v>
      </c>
      <c r="K4" s="2">
        <f t="shared" si="5"/>
        <v>-118051.62</v>
      </c>
      <c r="L4" s="2">
        <f t="shared" si="5"/>
        <v>-117832.668</v>
      </c>
      <c r="M4" s="2">
        <f t="shared" si="3"/>
        <v>117808.34</v>
      </c>
      <c r="N4" s="1">
        <v>4.4</v>
      </c>
      <c r="O4" s="2">
        <f t="shared" si="4"/>
        <v>43.164</v>
      </c>
    </row>
    <row r="5">
      <c r="A5" s="1">
        <v>5.0</v>
      </c>
      <c r="B5" s="1">
        <v>122.75</v>
      </c>
      <c r="C5" s="1">
        <v>122.77</v>
      </c>
      <c r="D5" s="1">
        <v>122.81</v>
      </c>
      <c r="E5" s="1">
        <v>122.77</v>
      </c>
      <c r="F5" s="1">
        <v>122.44</v>
      </c>
      <c r="H5" s="2">
        <f t="shared" ref="H5:L5" si="6">B5*$G$1</f>
        <v>-149313.1</v>
      </c>
      <c r="I5" s="2">
        <f t="shared" si="6"/>
        <v>-149337.428</v>
      </c>
      <c r="J5" s="2">
        <f t="shared" si="6"/>
        <v>-149386.084</v>
      </c>
      <c r="K5" s="2">
        <f t="shared" si="6"/>
        <v>-149337.428</v>
      </c>
      <c r="L5" s="2">
        <f t="shared" si="6"/>
        <v>-148936.016</v>
      </c>
      <c r="M5" s="2">
        <f t="shared" si="3"/>
        <v>149262.0112</v>
      </c>
      <c r="N5" s="1">
        <v>5.6</v>
      </c>
      <c r="O5" s="2">
        <f t="shared" si="4"/>
        <v>54.936</v>
      </c>
    </row>
    <row r="6">
      <c r="A6" s="1">
        <v>7.0</v>
      </c>
      <c r="B6" s="1">
        <v>145.64</v>
      </c>
      <c r="C6" s="1">
        <v>145.84</v>
      </c>
      <c r="D6" s="1">
        <v>145.81</v>
      </c>
      <c r="E6" s="1">
        <v>145.88</v>
      </c>
      <c r="F6" s="1">
        <v>145.64</v>
      </c>
      <c r="H6" s="2">
        <f t="shared" ref="H6:L6" si="7">B6*$G$1</f>
        <v>-177156.496</v>
      </c>
      <c r="I6" s="2">
        <f t="shared" si="7"/>
        <v>-177399.776</v>
      </c>
      <c r="J6" s="2">
        <f t="shared" si="7"/>
        <v>-177363.284</v>
      </c>
      <c r="K6" s="2">
        <f t="shared" si="7"/>
        <v>-177448.432</v>
      </c>
      <c r="L6" s="2">
        <f t="shared" si="7"/>
        <v>-177156.496</v>
      </c>
      <c r="M6" s="2">
        <f t="shared" si="3"/>
        <v>177304.8968</v>
      </c>
      <c r="N6" s="1">
        <v>7.2</v>
      </c>
      <c r="O6" s="2">
        <f t="shared" si="4"/>
        <v>70.632</v>
      </c>
    </row>
    <row r="7">
      <c r="A7" s="1">
        <v>8.0</v>
      </c>
      <c r="B7" s="1">
        <v>171.75</v>
      </c>
      <c r="C7" s="1">
        <v>171.92</v>
      </c>
      <c r="D7" s="1">
        <v>171.65</v>
      </c>
      <c r="E7" s="1">
        <v>171.63</v>
      </c>
      <c r="F7" s="1">
        <v>171.62</v>
      </c>
      <c r="H7" s="2">
        <f t="shared" ref="H7:L7" si="8">B7*$G$1</f>
        <v>-208916.7</v>
      </c>
      <c r="I7" s="2">
        <f t="shared" si="8"/>
        <v>-209123.488</v>
      </c>
      <c r="J7" s="2">
        <f t="shared" si="8"/>
        <v>-208795.06</v>
      </c>
      <c r="K7" s="2">
        <f t="shared" si="8"/>
        <v>-208770.732</v>
      </c>
      <c r="L7" s="2">
        <f t="shared" si="8"/>
        <v>-208758.568</v>
      </c>
      <c r="M7" s="2">
        <f t="shared" si="3"/>
        <v>208872.9096</v>
      </c>
      <c r="N7" s="1">
        <v>8.6</v>
      </c>
      <c r="O7" s="2">
        <f t="shared" si="4"/>
        <v>84.366</v>
      </c>
    </row>
    <row r="8">
      <c r="A8" s="1">
        <v>9.0</v>
      </c>
      <c r="B8" s="1">
        <v>195.35</v>
      </c>
      <c r="C8" s="1">
        <v>195.24</v>
      </c>
      <c r="D8" s="1">
        <v>195.75</v>
      </c>
      <c r="E8" s="1">
        <v>195.21</v>
      </c>
      <c r="F8" s="1">
        <v>195.42</v>
      </c>
      <c r="H8" s="2">
        <f t="shared" ref="H8:L8" si="9">B8*$G$1</f>
        <v>-237623.74</v>
      </c>
      <c r="I8" s="2">
        <f t="shared" si="9"/>
        <v>-237489.936</v>
      </c>
      <c r="J8" s="2">
        <f t="shared" si="9"/>
        <v>-238110.3</v>
      </c>
      <c r="K8" s="2">
        <f t="shared" si="9"/>
        <v>-237453.444</v>
      </c>
      <c r="L8" s="2">
        <f t="shared" si="9"/>
        <v>-237708.888</v>
      </c>
      <c r="M8" s="2">
        <f t="shared" si="3"/>
        <v>237677.2616</v>
      </c>
      <c r="N8" s="1">
        <v>9.6</v>
      </c>
      <c r="O8" s="2">
        <f t="shared" si="4"/>
        <v>94.176</v>
      </c>
    </row>
    <row r="9">
      <c r="A9" s="1">
        <v>10.0</v>
      </c>
      <c r="B9" s="1">
        <v>221.53</v>
      </c>
      <c r="C9" s="1">
        <v>221.98</v>
      </c>
      <c r="D9" s="1">
        <v>221.61</v>
      </c>
      <c r="E9" s="1">
        <v>221.91</v>
      </c>
      <c r="F9" s="1">
        <v>221.41</v>
      </c>
      <c r="H9" s="2">
        <f t="shared" ref="H9:L9" si="10">B9*$G$1</f>
        <v>-269469.092</v>
      </c>
      <c r="I9" s="2">
        <f t="shared" si="10"/>
        <v>-270016.472</v>
      </c>
      <c r="J9" s="2">
        <f t="shared" si="10"/>
        <v>-269566.404</v>
      </c>
      <c r="K9" s="2">
        <f t="shared" si="10"/>
        <v>-269931.324</v>
      </c>
      <c r="L9" s="2">
        <f t="shared" si="10"/>
        <v>-269323.124</v>
      </c>
      <c r="M9" s="2">
        <f t="shared" si="3"/>
        <v>269661.2832</v>
      </c>
      <c r="N9" s="1">
        <v>11.0</v>
      </c>
      <c r="O9" s="2">
        <f t="shared" si="4"/>
        <v>107.91</v>
      </c>
    </row>
    <row r="10">
      <c r="A10" s="1">
        <v>11.0</v>
      </c>
      <c r="B10" s="1">
        <v>245.86</v>
      </c>
      <c r="C10" s="1">
        <v>245.42</v>
      </c>
      <c r="D10" s="1">
        <v>245.41</v>
      </c>
      <c r="E10" s="1">
        <v>245.67</v>
      </c>
      <c r="F10" s="1">
        <v>245.75</v>
      </c>
      <c r="H10" s="2">
        <f t="shared" ref="H10:L10" si="11">B10*$G$1</f>
        <v>-299064.104</v>
      </c>
      <c r="I10" s="2">
        <f t="shared" si="11"/>
        <v>-298528.888</v>
      </c>
      <c r="J10" s="2">
        <f t="shared" si="11"/>
        <v>-298516.724</v>
      </c>
      <c r="K10" s="2">
        <f t="shared" si="11"/>
        <v>-298832.988</v>
      </c>
      <c r="L10" s="2">
        <f t="shared" si="11"/>
        <v>-298930.3</v>
      </c>
      <c r="M10" s="2">
        <f t="shared" si="3"/>
        <v>298774.6008</v>
      </c>
      <c r="N10" s="1">
        <v>11.6</v>
      </c>
      <c r="O10" s="2">
        <f t="shared" si="4"/>
        <v>113.796</v>
      </c>
    </row>
    <row r="11">
      <c r="A11" s="1">
        <v>14.0</v>
      </c>
      <c r="B11" s="1">
        <v>294.91</v>
      </c>
      <c r="C11" s="1">
        <v>294.72</v>
      </c>
      <c r="D11" s="1">
        <v>294.75</v>
      </c>
      <c r="E11" s="1">
        <v>294.76</v>
      </c>
      <c r="F11" s="1">
        <v>294.86</v>
      </c>
      <c r="H11" s="2">
        <f t="shared" ref="H11:L11" si="12">B11*$G$1</f>
        <v>-358728.524</v>
      </c>
      <c r="I11" s="2">
        <f t="shared" si="12"/>
        <v>-358497.408</v>
      </c>
      <c r="J11" s="2">
        <f t="shared" si="12"/>
        <v>-358533.9</v>
      </c>
      <c r="K11" s="2">
        <f t="shared" si="12"/>
        <v>-358546.064</v>
      </c>
      <c r="L11" s="2">
        <f t="shared" si="12"/>
        <v>-358667.704</v>
      </c>
      <c r="M11" s="2">
        <f t="shared" si="3"/>
        <v>358594.72</v>
      </c>
      <c r="N11" s="1">
        <v>13.8</v>
      </c>
      <c r="O11" s="2">
        <f t="shared" si="4"/>
        <v>135.378</v>
      </c>
    </row>
    <row r="12">
      <c r="A12" s="1">
        <v>16.0</v>
      </c>
      <c r="B12" s="1">
        <v>344.34</v>
      </c>
      <c r="C12" s="1">
        <v>344.65</v>
      </c>
      <c r="D12" s="1">
        <v>343.86</v>
      </c>
      <c r="E12" s="1">
        <v>344.15</v>
      </c>
      <c r="F12" s="1">
        <v>344.34</v>
      </c>
      <c r="H12" s="2">
        <f t="shared" ref="H12:L12" si="13">B12*$G$1</f>
        <v>-418855.176</v>
      </c>
      <c r="I12" s="2">
        <f t="shared" si="13"/>
        <v>-419232.26</v>
      </c>
      <c r="J12" s="2">
        <f t="shared" si="13"/>
        <v>-418271.304</v>
      </c>
      <c r="K12" s="2">
        <f t="shared" si="13"/>
        <v>-418624.06</v>
      </c>
      <c r="L12" s="2">
        <f t="shared" si="13"/>
        <v>-418855.176</v>
      </c>
      <c r="M12" s="2">
        <f t="shared" si="3"/>
        <v>418767.5952</v>
      </c>
      <c r="N12" s="1">
        <v>16.2</v>
      </c>
      <c r="O12" s="2">
        <f t="shared" si="4"/>
        <v>158.922</v>
      </c>
    </row>
    <row r="13">
      <c r="A13" s="1">
        <v>18.0</v>
      </c>
      <c r="B13" s="1">
        <v>393.54</v>
      </c>
      <c r="C13" s="1">
        <v>393.18</v>
      </c>
      <c r="D13" s="1">
        <v>393.98</v>
      </c>
      <c r="E13" s="1">
        <v>393.87</v>
      </c>
      <c r="F13" s="1">
        <v>393.57</v>
      </c>
      <c r="H13" s="2">
        <f t="shared" ref="H13:L13" si="14">B13*$G$1</f>
        <v>-478702.056</v>
      </c>
      <c r="I13" s="2">
        <f t="shared" si="14"/>
        <v>-478264.152</v>
      </c>
      <c r="J13" s="2">
        <f t="shared" si="14"/>
        <v>-479237.272</v>
      </c>
      <c r="K13" s="2">
        <f t="shared" si="14"/>
        <v>-479103.468</v>
      </c>
      <c r="L13" s="2">
        <f t="shared" si="14"/>
        <v>-478738.548</v>
      </c>
      <c r="M13" s="2">
        <f t="shared" si="3"/>
        <v>478809.0992</v>
      </c>
      <c r="N13" s="1">
        <v>18.4</v>
      </c>
      <c r="O13" s="2">
        <f t="shared" si="4"/>
        <v>180.504</v>
      </c>
    </row>
    <row r="14">
      <c r="A14" s="1">
        <v>20.0</v>
      </c>
      <c r="B14" s="1">
        <v>442.42</v>
      </c>
      <c r="C14" s="1">
        <v>442.91</v>
      </c>
      <c r="D14" s="1">
        <v>441.84</v>
      </c>
      <c r="E14" s="1">
        <v>442.48</v>
      </c>
      <c r="F14" s="1">
        <v>442.36</v>
      </c>
      <c r="H14" s="2">
        <f t="shared" ref="H14:L14" si="15">B14*$G$1</f>
        <v>-538159.688</v>
      </c>
      <c r="I14" s="2">
        <f t="shared" si="15"/>
        <v>-538755.724</v>
      </c>
      <c r="J14" s="2">
        <f t="shared" si="15"/>
        <v>-537454.176</v>
      </c>
      <c r="K14" s="2">
        <f t="shared" si="15"/>
        <v>-538232.672</v>
      </c>
      <c r="L14" s="2">
        <f t="shared" si="15"/>
        <v>-538086.704</v>
      </c>
      <c r="M14" s="2">
        <f t="shared" si="3"/>
        <v>538137.7928</v>
      </c>
      <c r="N14" s="1">
        <v>20.8</v>
      </c>
      <c r="O14" s="2">
        <f t="shared" si="4"/>
        <v>204.048</v>
      </c>
    </row>
    <row r="15">
      <c r="A15" s="1">
        <v>23.0</v>
      </c>
      <c r="B15" s="1">
        <v>491.83</v>
      </c>
      <c r="C15" s="1">
        <v>492.13</v>
      </c>
      <c r="D15" s="1">
        <v>492.62</v>
      </c>
      <c r="E15" s="1">
        <v>492.08</v>
      </c>
      <c r="F15" s="1">
        <v>492.72</v>
      </c>
      <c r="H15" s="2">
        <f t="shared" ref="H15:L15" si="16">B15*$G$1</f>
        <v>-598262.012</v>
      </c>
      <c r="I15" s="2">
        <f t="shared" si="16"/>
        <v>-598626.932</v>
      </c>
      <c r="J15" s="2">
        <f t="shared" si="16"/>
        <v>-599222.968</v>
      </c>
      <c r="K15" s="2">
        <f t="shared" si="16"/>
        <v>-598566.112</v>
      </c>
      <c r="L15" s="2">
        <f t="shared" si="16"/>
        <v>-599344.608</v>
      </c>
      <c r="M15" s="2">
        <f t="shared" si="3"/>
        <v>598804.5264</v>
      </c>
      <c r="N15" s="1">
        <v>22.8</v>
      </c>
      <c r="O15" s="2">
        <f t="shared" si="4"/>
        <v>223.668</v>
      </c>
    </row>
    <row r="16">
      <c r="A16" s="1">
        <v>24.0</v>
      </c>
      <c r="B16" s="1">
        <v>517.02</v>
      </c>
      <c r="C16" s="1">
        <v>518.17</v>
      </c>
      <c r="D16" s="1">
        <v>517.86</v>
      </c>
      <c r="E16" s="1">
        <v>517.56</v>
      </c>
      <c r="F16" s="1">
        <v>517.74</v>
      </c>
      <c r="H16" s="2">
        <f t="shared" ref="H16:L16" si="17">B16*$G$1</f>
        <v>-628903.128</v>
      </c>
      <c r="I16" s="2">
        <f t="shared" si="17"/>
        <v>-630301.988</v>
      </c>
      <c r="J16" s="2">
        <f t="shared" si="17"/>
        <v>-629924.904</v>
      </c>
      <c r="K16" s="2">
        <f t="shared" si="17"/>
        <v>-629559.984</v>
      </c>
      <c r="L16" s="2">
        <f t="shared" si="17"/>
        <v>-629778.936</v>
      </c>
      <c r="M16" s="2">
        <f t="shared" si="3"/>
        <v>629693.788</v>
      </c>
      <c r="N16" s="1">
        <v>24.2</v>
      </c>
      <c r="O16" s="2">
        <f t="shared" si="4"/>
        <v>237.402</v>
      </c>
    </row>
    <row r="18">
      <c r="G18" s="1" t="s">
        <v>15</v>
      </c>
    </row>
    <row r="19">
      <c r="G19" s="2">
        <f t="shared" ref="G19:G33" si="18">AVERAGE(B2:F2)</f>
        <v>47.06</v>
      </c>
    </row>
    <row r="20">
      <c r="G20" s="2">
        <f t="shared" si="18"/>
        <v>73.054</v>
      </c>
    </row>
    <row r="21">
      <c r="G21" s="2">
        <f t="shared" si="18"/>
        <v>96.85</v>
      </c>
    </row>
    <row r="22">
      <c r="G22" s="2">
        <f t="shared" si="18"/>
        <v>122.708</v>
      </c>
    </row>
    <row r="23">
      <c r="G23" s="2">
        <f t="shared" si="18"/>
        <v>145.762</v>
      </c>
    </row>
    <row r="24">
      <c r="G24" s="2">
        <f t="shared" si="18"/>
        <v>171.714</v>
      </c>
    </row>
    <row r="25">
      <c r="G25" s="2">
        <f t="shared" si="18"/>
        <v>195.394</v>
      </c>
    </row>
    <row r="26">
      <c r="G26" s="2">
        <f t="shared" si="18"/>
        <v>221.688</v>
      </c>
    </row>
    <row r="27">
      <c r="G27" s="2">
        <f t="shared" si="18"/>
        <v>245.622</v>
      </c>
    </row>
    <row r="28">
      <c r="G28" s="2">
        <f t="shared" si="18"/>
        <v>294.8</v>
      </c>
    </row>
    <row r="29">
      <c r="G29" s="2">
        <f t="shared" si="18"/>
        <v>344.268</v>
      </c>
    </row>
    <row r="30">
      <c r="G30" s="2">
        <f t="shared" si="18"/>
        <v>393.628</v>
      </c>
    </row>
    <row r="31">
      <c r="G31" s="2">
        <f t="shared" si="18"/>
        <v>442.402</v>
      </c>
    </row>
    <row r="32">
      <c r="G32" s="2">
        <f t="shared" si="18"/>
        <v>492.276</v>
      </c>
    </row>
    <row r="33">
      <c r="G33" s="2">
        <f t="shared" si="18"/>
        <v>517.67</v>
      </c>
    </row>
    <row r="37">
      <c r="A37" s="1" t="s">
        <v>16</v>
      </c>
    </row>
    <row r="38">
      <c r="A38" s="1" t="s">
        <v>0</v>
      </c>
      <c r="B38" s="1" t="s">
        <v>17</v>
      </c>
      <c r="C38" s="1" t="s">
        <v>13</v>
      </c>
      <c r="D38" s="1" t="s">
        <v>18</v>
      </c>
      <c r="E38" s="1" t="s">
        <v>19</v>
      </c>
      <c r="F38" s="1" t="s">
        <v>20</v>
      </c>
    </row>
    <row r="39">
      <c r="A39" s="1">
        <v>2.0</v>
      </c>
      <c r="B39" s="1">
        <v>21.36</v>
      </c>
      <c r="C39" s="2">
        <f t="shared" ref="C39:C53" si="19">N2*9.81</f>
        <v>25.506</v>
      </c>
      <c r="D39" s="2">
        <f t="shared" ref="D39:D53" si="20">C39-B39</f>
        <v>4.146</v>
      </c>
      <c r="E39" s="2">
        <f>AVERAGE(D39:D53)</f>
        <v>2.899466667</v>
      </c>
      <c r="F39" s="2">
        <f>E39/9.81</f>
        <v>0.2955623513</v>
      </c>
    </row>
    <row r="40">
      <c r="A40" s="1">
        <v>3.0</v>
      </c>
      <c r="B40" s="1">
        <v>33.12</v>
      </c>
      <c r="C40" s="2">
        <f t="shared" si="19"/>
        <v>33.354</v>
      </c>
      <c r="D40" s="2">
        <f t="shared" si="20"/>
        <v>0.234</v>
      </c>
    </row>
    <row r="41">
      <c r="A41" s="1">
        <v>4.0</v>
      </c>
      <c r="B41" s="1">
        <v>43.84</v>
      </c>
      <c r="C41" s="2">
        <f t="shared" si="19"/>
        <v>43.164</v>
      </c>
      <c r="D41" s="2">
        <f t="shared" si="20"/>
        <v>-0.676</v>
      </c>
    </row>
    <row r="42">
      <c r="A42" s="1">
        <v>5.0</v>
      </c>
      <c r="B42" s="1">
        <v>55.62</v>
      </c>
      <c r="C42" s="2">
        <f t="shared" si="19"/>
        <v>54.936</v>
      </c>
      <c r="D42" s="2">
        <f t="shared" si="20"/>
        <v>-0.684</v>
      </c>
    </row>
    <row r="43">
      <c r="A43" s="1">
        <v>7.0</v>
      </c>
      <c r="B43" s="1">
        <v>66.09</v>
      </c>
      <c r="C43" s="2">
        <f t="shared" si="19"/>
        <v>70.632</v>
      </c>
      <c r="D43" s="2">
        <f t="shared" si="20"/>
        <v>4.542</v>
      </c>
    </row>
    <row r="44">
      <c r="A44" s="1">
        <v>8.0</v>
      </c>
      <c r="B44" s="1">
        <v>77.84</v>
      </c>
      <c r="C44" s="2">
        <f t="shared" si="19"/>
        <v>84.366</v>
      </c>
      <c r="D44" s="2">
        <f t="shared" si="20"/>
        <v>6.526</v>
      </c>
    </row>
    <row r="45">
      <c r="A45" s="1">
        <v>9.0</v>
      </c>
      <c r="B45" s="1">
        <v>88.54</v>
      </c>
      <c r="C45" s="2">
        <f t="shared" si="19"/>
        <v>94.176</v>
      </c>
      <c r="D45" s="2">
        <f t="shared" si="20"/>
        <v>5.636</v>
      </c>
    </row>
    <row r="46">
      <c r="A46" s="1">
        <v>10.0</v>
      </c>
      <c r="B46" s="1">
        <v>100.46</v>
      </c>
      <c r="C46" s="2">
        <f t="shared" si="19"/>
        <v>107.91</v>
      </c>
      <c r="D46" s="2">
        <f t="shared" si="20"/>
        <v>7.45</v>
      </c>
    </row>
    <row r="47">
      <c r="A47" s="1">
        <v>11.0</v>
      </c>
      <c r="B47" s="1">
        <v>111.31</v>
      </c>
      <c r="C47" s="2">
        <f t="shared" si="19"/>
        <v>113.796</v>
      </c>
      <c r="D47" s="2">
        <f t="shared" si="20"/>
        <v>2.486</v>
      </c>
    </row>
    <row r="48">
      <c r="A48" s="1">
        <v>14.0</v>
      </c>
      <c r="B48" s="1">
        <v>133.35</v>
      </c>
      <c r="C48" s="2">
        <f t="shared" si="19"/>
        <v>135.378</v>
      </c>
      <c r="D48" s="2">
        <f t="shared" si="20"/>
        <v>2.028</v>
      </c>
    </row>
    <row r="49">
      <c r="A49" s="1">
        <v>16.0</v>
      </c>
      <c r="B49" s="1">
        <v>156.18</v>
      </c>
      <c r="C49" s="2">
        <f t="shared" si="19"/>
        <v>158.922</v>
      </c>
      <c r="D49" s="2">
        <f t="shared" si="20"/>
        <v>2.742</v>
      </c>
    </row>
    <row r="50">
      <c r="A50" s="1">
        <v>18.0</v>
      </c>
      <c r="B50" s="1">
        <v>178.3</v>
      </c>
      <c r="C50" s="2">
        <f t="shared" si="19"/>
        <v>180.504</v>
      </c>
      <c r="D50" s="2">
        <f t="shared" si="20"/>
        <v>2.204</v>
      </c>
    </row>
    <row r="51">
      <c r="A51" s="1">
        <v>20.0</v>
      </c>
      <c r="B51" s="1">
        <v>200.23</v>
      </c>
      <c r="C51" s="2">
        <f t="shared" si="19"/>
        <v>204.048</v>
      </c>
      <c r="D51" s="2">
        <f t="shared" si="20"/>
        <v>3.818</v>
      </c>
    </row>
    <row r="52">
      <c r="A52" s="1">
        <v>23.0</v>
      </c>
      <c r="B52" s="1">
        <v>223.24</v>
      </c>
      <c r="C52" s="2">
        <f t="shared" si="19"/>
        <v>223.668</v>
      </c>
      <c r="D52" s="2">
        <f t="shared" si="20"/>
        <v>0.428</v>
      </c>
    </row>
    <row r="53">
      <c r="A53" s="1">
        <v>24.0</v>
      </c>
      <c r="B53" s="1">
        <v>234.79</v>
      </c>
      <c r="C53" s="2">
        <f t="shared" si="19"/>
        <v>237.402</v>
      </c>
      <c r="D53" s="2">
        <f t="shared" si="20"/>
        <v>2.612</v>
      </c>
    </row>
  </sheetData>
  <drawing r:id="rId1"/>
</worksheet>
</file>